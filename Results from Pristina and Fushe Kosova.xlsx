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fic Based Initial Solution" sheetId="1" r:id="rId4"/>
    <sheet state="visible" name="Usage Based Initial Solution" sheetId="2" r:id="rId5"/>
  </sheets>
  <definedNames/>
  <calcPr/>
</workbook>
</file>

<file path=xl/sharedStrings.xml><?xml version="1.0" encoding="utf-8"?>
<sst xmlns="http://schemas.openxmlformats.org/spreadsheetml/2006/main" count="74" uniqueCount="39">
  <si>
    <t>instance_pr_no_bonus</t>
  </si>
  <si>
    <t>instance_pr_taxi_synthetic_no_bonus Score</t>
  </si>
  <si>
    <t>instance_pr_taxi_synthetic_no_bonus Average Number of Waiting Cars</t>
  </si>
  <si>
    <t>instance_pr_taxi_synthetic_no_bonus Completed Path Number of Cars</t>
  </si>
  <si>
    <t>instance_pr_taxi_synthetic_bonus Score</t>
  </si>
  <si>
    <t>instance_pr_taxi_synthetic_bonus Average Number of Waiting Cars</t>
  </si>
  <si>
    <t>instance_pr_taxi_synthetic_bonus Completed Path Number of Cars</t>
  </si>
  <si>
    <t>instance_pr_fk_bonus Score</t>
  </si>
  <si>
    <t>instance_pr_fk_bonus Average Number of Waiting Cars</t>
  </si>
  <si>
    <t>instance_pr_fk_bonus Completed Path Number of Cars</t>
  </si>
  <si>
    <t>instance_pr_fk_no_bonus Score</t>
  </si>
  <si>
    <t>instance_pr_fk_no_bonus Average Number of Waiting Cars</t>
  </si>
  <si>
    <t>instance_pr_fk_no_bonus Completed Path Number of Cars</t>
  </si>
  <si>
    <t>instance_fk_no_bonus Score</t>
  </si>
  <si>
    <t>instance_fk_no_bonus Average Number of Waiting Cars</t>
  </si>
  <si>
    <t>instance_fk_no_bonus Completed Path Number of Cars</t>
  </si>
  <si>
    <t>instance_fk_bonus Score</t>
  </si>
  <si>
    <t>instance_fk_bonus Average Number of Waiting Cars</t>
  </si>
  <si>
    <t>instance_fk_bonus Completed Path Number of Cars</t>
  </si>
  <si>
    <t>instance_pr_bonus Score</t>
  </si>
  <si>
    <t>instance_pr_bonus Average Number of Waiting Cars</t>
  </si>
  <si>
    <t>instance_pr_bonus Completed Path Number of Cars</t>
  </si>
  <si>
    <t>score</t>
  </si>
  <si>
    <t>avg waiting cars</t>
  </si>
  <si>
    <t>completed path</t>
  </si>
  <si>
    <t>Instance Name</t>
  </si>
  <si>
    <t>Score</t>
  </si>
  <si>
    <t>Avg Wating Cars</t>
  </si>
  <si>
    <t>Completed Cars</t>
  </si>
  <si>
    <t>instance_pr_taxi_synthetic_no_bonus</t>
  </si>
  <si>
    <t>instance_pr_taxi_synthetic_bonus</t>
  </si>
  <si>
    <t>instance_pr_fk_bonus</t>
  </si>
  <si>
    <t>instance_pr_fk_no_bonus</t>
  </si>
  <si>
    <t>instance_fk_no_bonus</t>
  </si>
  <si>
    <t xml:space="preserve">instance_fk_bonus </t>
  </si>
  <si>
    <t>instance_pr_bonus</t>
  </si>
  <si>
    <t>instance_pr_no_bonus Score</t>
  </si>
  <si>
    <t>instance_pr_no_bonus Average Number of Waiting Cars</t>
  </si>
  <si>
    <t>instance_pr_no_bonus Completed Path Number of Cars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</si>
</sst>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/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top" wrapText="0"/>
    </xf>
    <xf borderId="2" fillId="0" fontId="3" numFmtId="0" xfId="0" applyBorder="1" applyFont="1"/>
    <xf borderId="3" fillId="0" fontId="3" numFmtId="0" xfId="0" applyBorder="1" applyFont="1"/>
    <xf borderId="3" fillId="0" fontId="2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shrinkToFit="0" vertical="top" wrapText="0"/>
    </xf>
    <xf borderId="4" fillId="0" fontId="2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5" fillId="0" fontId="2" numFmtId="0" xfId="0" applyAlignment="1" applyBorder="1" applyFont="1">
      <alignment horizontal="center" readingOrder="0" shrinkToFit="0" vertical="top" wrapText="0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right"/>
    </xf>
    <xf borderId="4" fillId="0" fontId="6" numFmtId="0" xfId="0" applyAlignment="1" applyBorder="1" applyFont="1">
      <alignment horizontal="right" readingOrder="0" shrinkToFit="0" wrapText="0"/>
    </xf>
    <xf borderId="4" fillId="0" fontId="6" numFmtId="0" xfId="0" applyAlignment="1" applyBorder="1" applyFont="1">
      <alignment horizontal="right" readingOrder="0" shrinkToFit="0" vertical="top" wrapText="0"/>
    </xf>
    <xf borderId="4" fillId="0" fontId="6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horizontal="left" readingOrder="0" shrinkToFit="0" vertical="top" wrapText="0"/>
    </xf>
    <xf borderId="4" fillId="0" fontId="5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8.38"/>
    <col customWidth="1" min="3" max="3" width="15.63"/>
    <col customWidth="1" min="4" max="4" width="15.0"/>
    <col customWidth="1" min="5" max="5" width="34.5"/>
    <col customWidth="1" min="6" max="6" width="55.0"/>
    <col customWidth="1" min="7" max="7" width="54.75"/>
    <col customWidth="1" min="8" max="8" width="31.63"/>
    <col customWidth="1" min="9" max="9" width="52.13"/>
    <col customWidth="1" min="10" max="10" width="51.88"/>
    <col customWidth="1" min="11" max="11" width="22.38"/>
    <col customWidth="1" min="12" max="12" width="42.88"/>
    <col customWidth="1" min="13" max="13" width="42.63"/>
    <col customWidth="1" min="14" max="14" width="25.25"/>
    <col customWidth="1" min="15" max="15" width="45.75"/>
    <col customWidth="1" min="16" max="16" width="45.63"/>
    <col customWidth="1" min="17" max="17" width="22.75"/>
    <col customWidth="1" min="18" max="18" width="43.25"/>
    <col customWidth="1" min="19" max="19" width="43.0"/>
    <col customWidth="1" min="20" max="20" width="19.88"/>
    <col customWidth="1" min="21" max="21" width="40.38"/>
    <col customWidth="1" min="22" max="22" width="40.13"/>
    <col customWidth="1" min="23" max="23" width="20.0"/>
    <col customWidth="1" min="24" max="24" width="40.63"/>
    <col customWidth="1" min="25" max="25" width="40.38"/>
  </cols>
  <sheetData>
    <row r="1">
      <c r="A1" s="1"/>
      <c r="B1" s="2" t="s">
        <v>0</v>
      </c>
      <c r="C1" s="3"/>
      <c r="D1" s="4"/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</row>
    <row r="2">
      <c r="A2" s="1"/>
      <c r="B2" s="6" t="s">
        <v>22</v>
      </c>
      <c r="C2" s="6" t="s">
        <v>23</v>
      </c>
      <c r="D2" s="6" t="s">
        <v>24</v>
      </c>
      <c r="E2" s="6" t="s">
        <v>22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8">
        <v>0.0</v>
      </c>
      <c r="B3" s="9">
        <v>1416520.0</v>
      </c>
      <c r="C3" s="9">
        <v>25.69143534</v>
      </c>
      <c r="D3" s="10">
        <v>3156.0</v>
      </c>
      <c r="E3" s="11">
        <v>2577780.0</v>
      </c>
      <c r="F3" s="11">
        <v>37.26478</v>
      </c>
      <c r="G3" s="11">
        <v>5844.0</v>
      </c>
      <c r="H3" s="11">
        <v>3145813.0</v>
      </c>
      <c r="I3" s="11">
        <v>37.3832</v>
      </c>
      <c r="J3" s="11">
        <v>5830.0</v>
      </c>
      <c r="K3" s="11">
        <v>2032979.0</v>
      </c>
      <c r="L3" s="11">
        <v>24.91774</v>
      </c>
      <c r="M3" s="11">
        <v>3680.0</v>
      </c>
      <c r="N3" s="11">
        <v>1645404.0</v>
      </c>
      <c r="O3" s="11">
        <v>25.45508</v>
      </c>
      <c r="P3" s="11">
        <v>3586.0</v>
      </c>
      <c r="Q3" s="11">
        <v>223396.0</v>
      </c>
      <c r="R3" s="11">
        <v>38.46119</v>
      </c>
      <c r="S3" s="11">
        <v>564.0</v>
      </c>
      <c r="T3" s="11">
        <v>285859.0</v>
      </c>
      <c r="U3" s="11">
        <v>36.60143</v>
      </c>
      <c r="V3" s="11">
        <v>604.0</v>
      </c>
      <c r="W3" s="11">
        <v>1743903.0</v>
      </c>
      <c r="X3" s="11">
        <v>25.68942</v>
      </c>
      <c r="Y3" s="11">
        <v>3158.0</v>
      </c>
    </row>
    <row r="4">
      <c r="A4" s="12">
        <v>1.0</v>
      </c>
      <c r="B4" s="9">
        <v>1418888.0</v>
      </c>
      <c r="C4" s="9">
        <v>26.08489234</v>
      </c>
      <c r="D4" s="10">
        <v>3081.0</v>
      </c>
      <c r="E4" s="11">
        <v>2562715.0</v>
      </c>
      <c r="F4" s="11">
        <v>37.52724</v>
      </c>
      <c r="G4" s="11">
        <v>5799.0</v>
      </c>
      <c r="H4" s="11">
        <v>3141826.0</v>
      </c>
      <c r="I4" s="11">
        <v>37.24169</v>
      </c>
      <c r="J4" s="11">
        <v>5814.0</v>
      </c>
      <c r="K4" s="11">
        <v>1998428.0</v>
      </c>
      <c r="L4" s="11">
        <v>24.9699</v>
      </c>
      <c r="M4" s="11">
        <v>3617.0</v>
      </c>
      <c r="N4" s="11">
        <v>1628737.0</v>
      </c>
      <c r="O4" s="11">
        <v>25.75023</v>
      </c>
      <c r="P4" s="11">
        <v>3545.0</v>
      </c>
      <c r="Q4" s="11">
        <v>221535.0</v>
      </c>
      <c r="R4" s="11">
        <v>40.18194</v>
      </c>
      <c r="S4" s="11">
        <v>549.0</v>
      </c>
      <c r="T4" s="11">
        <v>285432.0</v>
      </c>
      <c r="U4" s="11">
        <v>36.32385</v>
      </c>
      <c r="V4" s="11">
        <v>604.0</v>
      </c>
      <c r="W4" s="11">
        <v>1741719.0</v>
      </c>
      <c r="X4" s="11">
        <v>26.06951</v>
      </c>
      <c r="Y4" s="11">
        <v>3169.0</v>
      </c>
    </row>
    <row r="5">
      <c r="A5" s="12">
        <v>2.0</v>
      </c>
      <c r="B5" s="9">
        <v>1415566.0</v>
      </c>
      <c r="C5" s="9">
        <v>26.24680553</v>
      </c>
      <c r="D5" s="10">
        <v>3116.0</v>
      </c>
      <c r="E5" s="11">
        <v>2583924.0</v>
      </c>
      <c r="F5" s="11">
        <v>37.23439</v>
      </c>
      <c r="G5" s="11">
        <v>5861.0</v>
      </c>
      <c r="H5" s="11">
        <v>3155199.0</v>
      </c>
      <c r="I5" s="11">
        <v>37.32167</v>
      </c>
      <c r="J5" s="11">
        <v>5871.0</v>
      </c>
      <c r="K5" s="11">
        <v>2014377.0</v>
      </c>
      <c r="L5" s="11">
        <v>25.33817</v>
      </c>
      <c r="M5" s="11">
        <v>3667.0</v>
      </c>
      <c r="N5" s="11">
        <v>1623882.0</v>
      </c>
      <c r="O5" s="11">
        <v>24.7207</v>
      </c>
      <c r="P5" s="11">
        <v>3589.0</v>
      </c>
      <c r="Q5" s="11">
        <v>223044.0</v>
      </c>
      <c r="R5" s="11">
        <v>38.34361</v>
      </c>
      <c r="S5" s="11">
        <v>542.0</v>
      </c>
      <c r="T5" s="11">
        <v>281665.0</v>
      </c>
      <c r="U5" s="11">
        <v>37.33333</v>
      </c>
      <c r="V5" s="11">
        <v>580.0</v>
      </c>
      <c r="W5" s="11">
        <v>1729455.0</v>
      </c>
      <c r="X5" s="11">
        <v>25.82613</v>
      </c>
      <c r="Y5" s="11">
        <v>3140.0</v>
      </c>
    </row>
    <row r="6">
      <c r="A6" s="12">
        <v>3.0</v>
      </c>
      <c r="B6" s="9">
        <v>1418930.0</v>
      </c>
      <c r="C6" s="9">
        <v>25.81251048</v>
      </c>
      <c r="D6" s="10">
        <v>3117.0</v>
      </c>
      <c r="E6" s="11">
        <v>2558541.0</v>
      </c>
      <c r="F6" s="11">
        <v>37.28037</v>
      </c>
      <c r="G6" s="11">
        <v>5786.0</v>
      </c>
      <c r="H6" s="11">
        <v>3150020.0</v>
      </c>
      <c r="I6" s="11">
        <v>37.2208</v>
      </c>
      <c r="J6" s="11">
        <v>5857.0</v>
      </c>
      <c r="K6" s="11">
        <v>1999235.0</v>
      </c>
      <c r="L6" s="11">
        <v>25.57019</v>
      </c>
      <c r="M6" s="11">
        <v>3618.0</v>
      </c>
      <c r="N6" s="11">
        <v>1637416.0</v>
      </c>
      <c r="O6" s="11">
        <v>25.38303</v>
      </c>
      <c r="P6" s="11">
        <v>3563.0</v>
      </c>
      <c r="Q6" s="11">
        <v>223282.0</v>
      </c>
      <c r="R6" s="11">
        <v>38.41885</v>
      </c>
      <c r="S6" s="11">
        <v>550.0</v>
      </c>
      <c r="T6" s="11">
        <v>280727.0</v>
      </c>
      <c r="U6" s="11">
        <v>36.56923</v>
      </c>
      <c r="V6" s="11">
        <v>572.0</v>
      </c>
      <c r="W6" s="11">
        <v>1728220.0</v>
      </c>
      <c r="X6" s="11">
        <v>26.17759</v>
      </c>
      <c r="Y6" s="11">
        <v>3138.0</v>
      </c>
    </row>
    <row r="7">
      <c r="A7" s="12">
        <v>4.0</v>
      </c>
      <c r="B7" s="9">
        <v>1423405.0</v>
      </c>
      <c r="C7" s="9">
        <v>26.20887278</v>
      </c>
      <c r="D7" s="10">
        <v>3076.0</v>
      </c>
      <c r="E7" s="11">
        <v>2581535.0</v>
      </c>
      <c r="F7" s="11">
        <v>37.23071</v>
      </c>
      <c r="G7" s="11">
        <v>5850.0</v>
      </c>
      <c r="H7" s="11">
        <v>3173807.0</v>
      </c>
      <c r="I7" s="11">
        <v>36.98209</v>
      </c>
      <c r="J7" s="11">
        <v>5886.0</v>
      </c>
      <c r="K7" s="11">
        <v>2001419.0</v>
      </c>
      <c r="L7" s="11">
        <v>24.96047</v>
      </c>
      <c r="M7" s="11">
        <v>3631.0</v>
      </c>
      <c r="N7" s="11">
        <v>1626966.0</v>
      </c>
      <c r="O7" s="11">
        <v>25.51461</v>
      </c>
      <c r="P7" s="11">
        <v>3562.0</v>
      </c>
      <c r="Q7" s="11">
        <v>222814.0</v>
      </c>
      <c r="R7" s="11">
        <v>38.27705</v>
      </c>
      <c r="S7" s="11">
        <v>542.0</v>
      </c>
      <c r="T7" s="11">
        <v>278188.0</v>
      </c>
      <c r="U7" s="11">
        <v>37.64849</v>
      </c>
      <c r="V7" s="11">
        <v>571.0</v>
      </c>
      <c r="W7" s="11">
        <v>1735060.0</v>
      </c>
      <c r="X7" s="11">
        <v>25.86466</v>
      </c>
      <c r="Y7" s="11">
        <v>3164.0</v>
      </c>
    </row>
    <row r="8">
      <c r="A8" s="12">
        <v>5.0</v>
      </c>
      <c r="B8" s="9">
        <v>1404786.0</v>
      </c>
      <c r="C8" s="9">
        <v>26.34566025</v>
      </c>
      <c r="D8" s="10">
        <v>3082.0</v>
      </c>
      <c r="E8" s="11">
        <v>2568783.0</v>
      </c>
      <c r="F8" s="11">
        <v>37.37697</v>
      </c>
      <c r="G8" s="11">
        <v>5798.0</v>
      </c>
      <c r="H8" s="11">
        <v>3155203.0</v>
      </c>
      <c r="I8" s="11">
        <v>37.23428</v>
      </c>
      <c r="J8" s="11">
        <v>5849.0</v>
      </c>
      <c r="K8" s="11">
        <v>2030858.0</v>
      </c>
      <c r="L8" s="11">
        <v>24.06085</v>
      </c>
      <c r="M8" s="11">
        <v>3681.0</v>
      </c>
      <c r="N8" s="11">
        <v>1619991.0</v>
      </c>
      <c r="O8" s="11">
        <v>25.52236</v>
      </c>
      <c r="P8" s="11">
        <v>3549.0</v>
      </c>
      <c r="Q8" s="11">
        <v>221494.0</v>
      </c>
      <c r="R8" s="11">
        <v>41.00286</v>
      </c>
      <c r="S8" s="11">
        <v>524.0</v>
      </c>
      <c r="T8" s="11">
        <v>279948.0</v>
      </c>
      <c r="U8" s="11">
        <v>37.49029</v>
      </c>
      <c r="V8" s="11">
        <v>569.0</v>
      </c>
      <c r="W8" s="11">
        <v>1744443.0</v>
      </c>
      <c r="X8" s="11">
        <v>26.1737</v>
      </c>
      <c r="Y8" s="11">
        <v>3143.0</v>
      </c>
    </row>
    <row r="9">
      <c r="A9" s="12">
        <v>6.0</v>
      </c>
      <c r="B9" s="9">
        <v>1422869.0</v>
      </c>
      <c r="C9" s="9">
        <v>25.95804196</v>
      </c>
      <c r="D9" s="10">
        <v>3106.0</v>
      </c>
      <c r="E9" s="11">
        <v>2579202.0</v>
      </c>
      <c r="F9" s="11">
        <v>37.27861</v>
      </c>
      <c r="G9" s="11">
        <v>5820.0</v>
      </c>
      <c r="H9" s="11">
        <v>3168741.0</v>
      </c>
      <c r="I9" s="11">
        <v>37.26585</v>
      </c>
      <c r="J9" s="11">
        <v>5875.0</v>
      </c>
      <c r="K9" s="11">
        <v>2020092.0</v>
      </c>
      <c r="L9" s="11">
        <v>25.06244</v>
      </c>
      <c r="M9" s="11">
        <v>3642.0</v>
      </c>
      <c r="N9" s="11">
        <v>1628980.0</v>
      </c>
      <c r="O9" s="11">
        <v>25.08947</v>
      </c>
      <c r="P9" s="11">
        <v>3558.0</v>
      </c>
      <c r="Q9" s="11">
        <v>223991.0</v>
      </c>
      <c r="R9" s="11">
        <v>38.83153</v>
      </c>
      <c r="S9" s="11">
        <v>554.0</v>
      </c>
      <c r="T9" s="11">
        <v>278573.0</v>
      </c>
      <c r="U9" s="11">
        <v>38.65468</v>
      </c>
      <c r="V9" s="11">
        <v>566.0</v>
      </c>
      <c r="W9" s="11">
        <v>1738283.0</v>
      </c>
      <c r="X9" s="11">
        <v>25.37096</v>
      </c>
      <c r="Y9" s="11">
        <v>3151.0</v>
      </c>
    </row>
    <row r="10">
      <c r="A10" s="12">
        <v>7.0</v>
      </c>
      <c r="B10" s="9">
        <v>1418254.0</v>
      </c>
      <c r="C10" s="9">
        <v>26.13802482</v>
      </c>
      <c r="D10" s="10">
        <v>3113.0</v>
      </c>
      <c r="E10" s="11">
        <v>2574921.0</v>
      </c>
      <c r="F10" s="11">
        <v>37.22311</v>
      </c>
      <c r="G10" s="11">
        <v>5838.0</v>
      </c>
      <c r="H10" s="11">
        <v>3156424.0</v>
      </c>
      <c r="I10" s="11">
        <v>37.16614</v>
      </c>
      <c r="J10" s="11">
        <v>5874.0</v>
      </c>
      <c r="K10" s="11">
        <v>2027601.0</v>
      </c>
      <c r="L10" s="11">
        <v>24.94514</v>
      </c>
      <c r="M10" s="11">
        <v>3665.0</v>
      </c>
      <c r="N10" s="11">
        <v>1650564.0</v>
      </c>
      <c r="O10" s="11">
        <v>25.54184</v>
      </c>
      <c r="P10" s="11">
        <v>3601.0</v>
      </c>
      <c r="Q10" s="11">
        <v>221330.0</v>
      </c>
      <c r="R10" s="11">
        <v>40.22876</v>
      </c>
      <c r="S10" s="11">
        <v>544.0</v>
      </c>
      <c r="T10" s="11">
        <v>283556.0</v>
      </c>
      <c r="U10" s="11">
        <v>36.05245</v>
      </c>
      <c r="V10" s="11">
        <v>597.0</v>
      </c>
      <c r="W10" s="11">
        <v>1754714.0</v>
      </c>
      <c r="X10" s="11">
        <v>25.46613</v>
      </c>
      <c r="Y10" s="11">
        <v>3146.0</v>
      </c>
    </row>
    <row r="11">
      <c r="A11" s="12">
        <v>8.0</v>
      </c>
      <c r="B11" s="9">
        <v>1410888.0</v>
      </c>
      <c r="C11" s="9">
        <v>26.10728953</v>
      </c>
      <c r="D11" s="10">
        <v>3075.0</v>
      </c>
      <c r="E11" s="11">
        <v>2565512.0</v>
      </c>
      <c r="F11" s="11">
        <v>37.62025</v>
      </c>
      <c r="G11" s="11">
        <v>5773.0</v>
      </c>
      <c r="H11" s="11">
        <v>3159037.0</v>
      </c>
      <c r="I11" s="11">
        <v>37.22621</v>
      </c>
      <c r="J11" s="11">
        <v>5880.0</v>
      </c>
      <c r="K11" s="11">
        <v>2008829.0</v>
      </c>
      <c r="L11" s="11">
        <v>24.44121</v>
      </c>
      <c r="M11" s="11">
        <v>3650.0</v>
      </c>
      <c r="N11" s="11">
        <v>1638222.0</v>
      </c>
      <c r="O11" s="11">
        <v>25.06193</v>
      </c>
      <c r="P11" s="11">
        <v>3613.0</v>
      </c>
      <c r="Q11" s="11">
        <v>222253.0</v>
      </c>
      <c r="R11" s="11">
        <v>38.93161</v>
      </c>
      <c r="S11" s="11">
        <v>549.0</v>
      </c>
      <c r="T11" s="11">
        <v>282352.0</v>
      </c>
      <c r="U11" s="11">
        <v>37.45133</v>
      </c>
      <c r="V11" s="11">
        <v>581.0</v>
      </c>
      <c r="W11" s="11">
        <v>1740196.0</v>
      </c>
      <c r="X11" s="11">
        <v>25.79475</v>
      </c>
      <c r="Y11" s="11">
        <v>3164.0</v>
      </c>
    </row>
    <row r="12">
      <c r="A12" s="12">
        <v>9.0</v>
      </c>
      <c r="B12" s="9">
        <v>1416274.0</v>
      </c>
      <c r="C12" s="9">
        <v>26.0834616</v>
      </c>
      <c r="D12" s="10">
        <v>3125.0</v>
      </c>
      <c r="E12" s="11">
        <v>2570094.0</v>
      </c>
      <c r="F12" s="11">
        <v>37.214</v>
      </c>
      <c r="G12" s="11">
        <v>5853.0</v>
      </c>
      <c r="H12" s="11">
        <v>3176694.0</v>
      </c>
      <c r="I12" s="11">
        <v>37.13453</v>
      </c>
      <c r="J12" s="11">
        <v>5891.0</v>
      </c>
      <c r="K12" s="11">
        <v>2012080.0</v>
      </c>
      <c r="L12" s="11">
        <v>25.34431</v>
      </c>
      <c r="M12" s="11">
        <v>3658.0</v>
      </c>
      <c r="N12" s="11">
        <v>1639751.0</v>
      </c>
      <c r="O12" s="11">
        <v>25.38436</v>
      </c>
      <c r="P12" s="11">
        <v>3607.0</v>
      </c>
      <c r="Q12" s="11">
        <v>222251.0</v>
      </c>
      <c r="R12" s="11">
        <v>39.71079</v>
      </c>
      <c r="S12" s="11">
        <v>541.0</v>
      </c>
      <c r="T12" s="11">
        <v>283143.0</v>
      </c>
      <c r="U12" s="11">
        <v>37.47425</v>
      </c>
      <c r="V12" s="11">
        <v>592.0</v>
      </c>
      <c r="W12" s="11">
        <v>1741318.0</v>
      </c>
      <c r="X12" s="11">
        <v>26.05141</v>
      </c>
      <c r="Y12" s="11">
        <v>3147.0</v>
      </c>
    </row>
    <row r="15">
      <c r="A15" s="13" t="s">
        <v>25</v>
      </c>
      <c r="B15" s="13" t="s">
        <v>26</v>
      </c>
      <c r="C15" s="13" t="s">
        <v>27</v>
      </c>
      <c r="D15" s="13" t="s">
        <v>28</v>
      </c>
    </row>
    <row r="16">
      <c r="A16" s="14" t="s">
        <v>0</v>
      </c>
      <c r="B16" s="15">
        <f>max(B3:B12)</f>
        <v>1423405</v>
      </c>
      <c r="C16" s="16">
        <v>26.20887278</v>
      </c>
      <c r="D16" s="17">
        <v>3076.0</v>
      </c>
    </row>
    <row r="17">
      <c r="A17" s="14" t="s">
        <v>29</v>
      </c>
      <c r="B17" s="15">
        <f>max(E3:E12)</f>
        <v>2583924</v>
      </c>
      <c r="C17" s="18">
        <v>37.23439</v>
      </c>
      <c r="D17" s="18">
        <v>5861.0</v>
      </c>
    </row>
    <row r="18">
      <c r="A18" s="19" t="s">
        <v>30</v>
      </c>
      <c r="B18" s="15">
        <f>max(H3:H12)</f>
        <v>3176694</v>
      </c>
      <c r="C18" s="18">
        <v>37.13453</v>
      </c>
      <c r="D18" s="18">
        <v>5891.0</v>
      </c>
    </row>
    <row r="19">
      <c r="A19" s="19" t="s">
        <v>31</v>
      </c>
      <c r="B19" s="15">
        <f>MAX(K3:K12)</f>
        <v>2032979</v>
      </c>
      <c r="C19" s="18">
        <v>24.91774</v>
      </c>
      <c r="D19" s="18">
        <v>3680.0</v>
      </c>
    </row>
    <row r="20">
      <c r="A20" s="19" t="s">
        <v>32</v>
      </c>
      <c r="B20" s="15">
        <f>MAX(N3:N12)</f>
        <v>1650564</v>
      </c>
      <c r="C20" s="18">
        <v>25.54184</v>
      </c>
      <c r="D20" s="18">
        <v>3601.0</v>
      </c>
    </row>
    <row r="21">
      <c r="A21" s="14" t="s">
        <v>33</v>
      </c>
      <c r="B21" s="15">
        <f>maX(Q3:Q12)</f>
        <v>223991</v>
      </c>
      <c r="C21" s="18">
        <v>38.83153</v>
      </c>
      <c r="D21" s="18">
        <v>554.0</v>
      </c>
    </row>
    <row r="22">
      <c r="A22" s="19" t="s">
        <v>34</v>
      </c>
      <c r="B22" s="15">
        <f>max(T3:T12)</f>
        <v>285859</v>
      </c>
      <c r="C22" s="18">
        <v>36.60143</v>
      </c>
      <c r="D22" s="18">
        <v>604.0</v>
      </c>
    </row>
    <row r="23">
      <c r="A23" s="19" t="s">
        <v>35</v>
      </c>
      <c r="B23" s="15">
        <f>max(W3:W12)</f>
        <v>1754714</v>
      </c>
      <c r="C23" s="18">
        <v>25.46613</v>
      </c>
      <c r="D23" s="18">
        <v>3146.0</v>
      </c>
    </row>
  </sheetData>
  <mergeCells count="1">
    <mergeCell ref="B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1"/>
      <c r="B1" s="8" t="s">
        <v>36</v>
      </c>
      <c r="C1" s="5" t="s">
        <v>37</v>
      </c>
      <c r="D1" s="5" t="s">
        <v>38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</row>
    <row r="2">
      <c r="A2" s="8">
        <v>0.0</v>
      </c>
      <c r="B2" s="11">
        <v>1419344.0</v>
      </c>
      <c r="C2" s="11">
        <v>25.68501</v>
      </c>
      <c r="D2" s="11">
        <v>3107.0</v>
      </c>
      <c r="E2" s="11">
        <v>2618573.0</v>
      </c>
      <c r="F2" s="11">
        <v>37.09305</v>
      </c>
      <c r="G2" s="11">
        <v>5876.0</v>
      </c>
      <c r="H2" s="11">
        <v>3188047.0</v>
      </c>
      <c r="I2" s="11">
        <v>37.22783</v>
      </c>
      <c r="J2" s="11">
        <v>5836.0</v>
      </c>
      <c r="K2" s="11">
        <v>1977847.0</v>
      </c>
      <c r="L2" s="11">
        <v>23.58155</v>
      </c>
      <c r="M2" s="11">
        <v>3678.0</v>
      </c>
      <c r="N2" s="11">
        <v>1658766.0</v>
      </c>
      <c r="O2" s="11">
        <v>24.37305</v>
      </c>
      <c r="P2" s="11">
        <v>3653.0</v>
      </c>
      <c r="Q2" s="11">
        <v>223440.0</v>
      </c>
      <c r="R2" s="11">
        <v>38.47656</v>
      </c>
      <c r="S2" s="11">
        <v>560.0</v>
      </c>
      <c r="T2" s="11">
        <v>281738.0</v>
      </c>
      <c r="U2" s="11">
        <v>35.42185</v>
      </c>
      <c r="V2" s="11">
        <v>609.0</v>
      </c>
      <c r="W2" s="11">
        <v>1707495.0</v>
      </c>
      <c r="X2" s="11">
        <v>25.32746</v>
      </c>
      <c r="Y2" s="11">
        <v>3162.0</v>
      </c>
    </row>
    <row r="3">
      <c r="A3" s="12">
        <v>1.0</v>
      </c>
      <c r="B3" s="11">
        <v>1429441.0</v>
      </c>
      <c r="C3" s="11">
        <v>25.68186</v>
      </c>
      <c r="D3" s="11">
        <v>3115.0</v>
      </c>
      <c r="E3" s="11">
        <v>2601912.0</v>
      </c>
      <c r="F3" s="11">
        <v>37.24681</v>
      </c>
      <c r="G3" s="11">
        <v>5844.0</v>
      </c>
      <c r="H3" s="11">
        <v>3201402.0</v>
      </c>
      <c r="I3" s="11">
        <v>37.00781</v>
      </c>
      <c r="J3" s="11">
        <v>5877.0</v>
      </c>
      <c r="K3" s="11">
        <v>1977193.0</v>
      </c>
      <c r="L3" s="11">
        <v>24.53397</v>
      </c>
      <c r="M3" s="11">
        <v>3635.0</v>
      </c>
      <c r="N3" s="11">
        <v>1665744.0</v>
      </c>
      <c r="O3" s="11">
        <v>24.4795</v>
      </c>
      <c r="P3" s="11">
        <v>3633.0</v>
      </c>
      <c r="Q3" s="11">
        <v>222885.0</v>
      </c>
      <c r="R3" s="11">
        <v>38.62145</v>
      </c>
      <c r="S3" s="11">
        <v>572.0</v>
      </c>
      <c r="T3" s="11">
        <v>279650.0</v>
      </c>
      <c r="U3" s="11">
        <v>36.62016</v>
      </c>
      <c r="V3" s="11">
        <v>586.0</v>
      </c>
      <c r="W3" s="11">
        <v>1707608.0</v>
      </c>
      <c r="X3" s="11">
        <v>25.87281</v>
      </c>
      <c r="Y3" s="11">
        <v>3129.0</v>
      </c>
    </row>
    <row r="4">
      <c r="A4" s="12">
        <v>2.0</v>
      </c>
      <c r="B4" s="11">
        <v>1435148.0</v>
      </c>
      <c r="C4" s="11">
        <v>25.4313</v>
      </c>
      <c r="D4" s="11">
        <v>3130.0</v>
      </c>
      <c r="E4" s="11">
        <v>2591077.0</v>
      </c>
      <c r="F4" s="11">
        <v>37.22206</v>
      </c>
      <c r="G4" s="11">
        <v>5844.0</v>
      </c>
      <c r="H4" s="11">
        <v>3187561.0</v>
      </c>
      <c r="I4" s="11">
        <v>37.14103</v>
      </c>
      <c r="J4" s="11">
        <v>5837.0</v>
      </c>
      <c r="K4" s="11">
        <v>1972975.0</v>
      </c>
      <c r="L4" s="11">
        <v>23.94548</v>
      </c>
      <c r="M4" s="11">
        <v>3656.0</v>
      </c>
      <c r="N4" s="11">
        <v>1631545.0</v>
      </c>
      <c r="O4" s="11">
        <v>24.48777</v>
      </c>
      <c r="P4" s="11">
        <v>3612.0</v>
      </c>
      <c r="Q4" s="11">
        <v>223145.0</v>
      </c>
      <c r="R4" s="11">
        <v>38.39175</v>
      </c>
      <c r="S4" s="11">
        <v>564.0</v>
      </c>
      <c r="T4" s="11">
        <v>283673.0</v>
      </c>
      <c r="U4" s="11">
        <v>35.90104</v>
      </c>
      <c r="V4" s="11">
        <v>593.0</v>
      </c>
      <c r="W4" s="11">
        <v>1719442.0</v>
      </c>
      <c r="X4" s="11">
        <v>25.636</v>
      </c>
      <c r="Y4" s="11">
        <v>3151.0</v>
      </c>
    </row>
    <row r="5">
      <c r="A5" s="12">
        <v>3.0</v>
      </c>
      <c r="B5" s="11">
        <v>1425942.0</v>
      </c>
      <c r="C5" s="11">
        <v>25.54911</v>
      </c>
      <c r="D5" s="11">
        <v>3142.0</v>
      </c>
      <c r="E5" s="11">
        <v>2611457.0</v>
      </c>
      <c r="F5" s="11">
        <v>37.22814</v>
      </c>
      <c r="G5" s="11">
        <v>5847.0</v>
      </c>
      <c r="H5" s="11">
        <v>3193982.0</v>
      </c>
      <c r="I5" s="11">
        <v>37.01244</v>
      </c>
      <c r="J5" s="11">
        <v>5865.0</v>
      </c>
      <c r="K5" s="11">
        <v>1984541.0</v>
      </c>
      <c r="L5" s="11">
        <v>24.70382</v>
      </c>
      <c r="M5" s="11">
        <v>3640.0</v>
      </c>
      <c r="N5" s="11">
        <v>1666056.0</v>
      </c>
      <c r="O5" s="11">
        <v>24.09964</v>
      </c>
      <c r="P5" s="11">
        <v>3665.0</v>
      </c>
      <c r="Q5" s="11">
        <v>222620.0</v>
      </c>
      <c r="R5" s="11">
        <v>39.55896</v>
      </c>
      <c r="S5" s="11">
        <v>559.0</v>
      </c>
      <c r="T5" s="11">
        <v>280357.0</v>
      </c>
      <c r="U5" s="11">
        <v>37.08639</v>
      </c>
      <c r="V5" s="11">
        <v>583.0</v>
      </c>
      <c r="W5" s="11">
        <v>1720578.0</v>
      </c>
      <c r="X5" s="11">
        <v>25.35262</v>
      </c>
      <c r="Y5" s="11">
        <v>3174.0</v>
      </c>
    </row>
    <row r="6">
      <c r="A6" s="12">
        <v>4.0</v>
      </c>
      <c r="B6" s="11">
        <v>1411649.0</v>
      </c>
      <c r="C6" s="11">
        <v>25.72453</v>
      </c>
      <c r="D6" s="11">
        <v>3109.0</v>
      </c>
      <c r="E6" s="11">
        <v>2604633.0</v>
      </c>
      <c r="F6" s="11">
        <v>37.08789</v>
      </c>
      <c r="G6" s="11">
        <v>5852.0</v>
      </c>
      <c r="H6" s="11">
        <v>3178079.0</v>
      </c>
      <c r="I6" s="11">
        <v>37.1153</v>
      </c>
      <c r="J6" s="11">
        <v>5861.0</v>
      </c>
      <c r="K6" s="11">
        <v>1968789.0</v>
      </c>
      <c r="L6" s="11">
        <v>24.53092</v>
      </c>
      <c r="M6" s="11">
        <v>3606.0</v>
      </c>
      <c r="N6" s="11">
        <v>1637636.0</v>
      </c>
      <c r="O6" s="11">
        <v>24.39952</v>
      </c>
      <c r="P6" s="11">
        <v>3637.0</v>
      </c>
      <c r="Q6" s="11">
        <v>222394.0</v>
      </c>
      <c r="R6" s="11">
        <v>37.83603</v>
      </c>
      <c r="S6" s="11">
        <v>568.0</v>
      </c>
      <c r="T6" s="11">
        <v>283223.0</v>
      </c>
      <c r="U6" s="11">
        <v>35.50956</v>
      </c>
      <c r="V6" s="11">
        <v>600.0</v>
      </c>
      <c r="W6" s="11">
        <v>1728641.0</v>
      </c>
      <c r="X6" s="11">
        <v>25.5192</v>
      </c>
      <c r="Y6" s="11">
        <v>3159.0</v>
      </c>
    </row>
    <row r="7">
      <c r="A7" s="12">
        <v>5.0</v>
      </c>
      <c r="B7" s="11">
        <v>1428575.0</v>
      </c>
      <c r="C7" s="11">
        <v>25.61456</v>
      </c>
      <c r="D7" s="11">
        <v>3145.0</v>
      </c>
      <c r="E7" s="11">
        <v>2602704.0</v>
      </c>
      <c r="F7" s="11">
        <v>37.10014</v>
      </c>
      <c r="G7" s="11">
        <v>5844.0</v>
      </c>
      <c r="H7" s="11">
        <v>3201785.0</v>
      </c>
      <c r="I7" s="11">
        <v>37.06092</v>
      </c>
      <c r="J7" s="11">
        <v>5877.0</v>
      </c>
      <c r="K7" s="11">
        <v>1976677.0</v>
      </c>
      <c r="L7" s="11">
        <v>24.27667</v>
      </c>
      <c r="M7" s="11">
        <v>3662.0</v>
      </c>
      <c r="N7" s="11">
        <v>1664383.0</v>
      </c>
      <c r="O7" s="11">
        <v>24.14555</v>
      </c>
      <c r="P7" s="11">
        <v>3640.0</v>
      </c>
      <c r="Q7" s="11">
        <v>224261.0</v>
      </c>
      <c r="R7" s="11">
        <v>36.66061</v>
      </c>
      <c r="S7" s="11">
        <v>581.0</v>
      </c>
      <c r="T7" s="11">
        <v>279150.0</v>
      </c>
      <c r="U7" s="11">
        <v>37.05715</v>
      </c>
      <c r="V7" s="11">
        <v>578.0</v>
      </c>
      <c r="W7" s="11">
        <v>1721452.0</v>
      </c>
      <c r="X7" s="11">
        <v>25.61156</v>
      </c>
      <c r="Y7" s="11">
        <v>3173.0</v>
      </c>
    </row>
    <row r="8">
      <c r="A8" s="12">
        <v>6.0</v>
      </c>
      <c r="B8" s="11">
        <v>1430045.0</v>
      </c>
      <c r="C8" s="11">
        <v>25.89428</v>
      </c>
      <c r="D8" s="11">
        <v>3131.0</v>
      </c>
      <c r="E8" s="11">
        <v>2605750.0</v>
      </c>
      <c r="F8" s="11">
        <v>37.09855</v>
      </c>
      <c r="G8" s="11">
        <v>5844.0</v>
      </c>
      <c r="H8" s="11">
        <v>3201346.0</v>
      </c>
      <c r="I8" s="11">
        <v>36.99798</v>
      </c>
      <c r="J8" s="11">
        <v>5876.0</v>
      </c>
      <c r="K8" s="11">
        <v>1989124.0</v>
      </c>
      <c r="L8" s="11">
        <v>23.61908</v>
      </c>
      <c r="M8" s="11">
        <v>3701.0</v>
      </c>
      <c r="N8" s="11">
        <v>1624317.0</v>
      </c>
      <c r="O8" s="11">
        <v>24.76979</v>
      </c>
      <c r="P8" s="11">
        <v>3608.0</v>
      </c>
      <c r="Q8" s="11">
        <v>222699.0</v>
      </c>
      <c r="R8" s="11">
        <v>40.08701</v>
      </c>
      <c r="S8" s="11">
        <v>559.0</v>
      </c>
      <c r="T8" s="11">
        <v>284256.0</v>
      </c>
      <c r="U8" s="11">
        <v>35.63883</v>
      </c>
      <c r="V8" s="11">
        <v>605.0</v>
      </c>
      <c r="W8" s="11">
        <v>1717268.0</v>
      </c>
      <c r="X8" s="11">
        <v>25.4986</v>
      </c>
      <c r="Y8" s="11">
        <v>3159.0</v>
      </c>
    </row>
    <row r="9">
      <c r="A9" s="12">
        <v>7.0</v>
      </c>
      <c r="B9" s="11">
        <v>1428256.0</v>
      </c>
      <c r="C9" s="11">
        <v>26.15463</v>
      </c>
      <c r="D9" s="11">
        <v>3133.0</v>
      </c>
      <c r="E9" s="11">
        <v>2587766.0</v>
      </c>
      <c r="F9" s="11">
        <v>37.13723</v>
      </c>
      <c r="G9" s="11">
        <v>5839.0</v>
      </c>
      <c r="H9" s="11">
        <v>3179433.0</v>
      </c>
      <c r="I9" s="11">
        <v>37.29583</v>
      </c>
      <c r="J9" s="11">
        <v>5845.0</v>
      </c>
      <c r="K9" s="11">
        <v>1977386.0</v>
      </c>
      <c r="L9" s="11">
        <v>24.29178</v>
      </c>
      <c r="M9" s="11">
        <v>3627.0</v>
      </c>
      <c r="N9" s="11">
        <v>1624873.0</v>
      </c>
      <c r="O9" s="11">
        <v>24.13094</v>
      </c>
      <c r="P9" s="11">
        <v>3626.0</v>
      </c>
      <c r="Q9" s="11">
        <v>222657.0</v>
      </c>
      <c r="R9" s="11">
        <v>38.53207</v>
      </c>
      <c r="S9" s="11">
        <v>568.0</v>
      </c>
      <c r="T9" s="11">
        <v>279954.0</v>
      </c>
      <c r="U9" s="11">
        <v>36.41487</v>
      </c>
      <c r="V9" s="11">
        <v>588.0</v>
      </c>
      <c r="W9" s="11">
        <v>1710496.0</v>
      </c>
      <c r="X9" s="11">
        <v>25.69886</v>
      </c>
      <c r="Y9" s="11">
        <v>3127.0</v>
      </c>
    </row>
    <row r="10">
      <c r="A10" s="12">
        <v>8.0</v>
      </c>
      <c r="B10" s="11">
        <v>1426944.0</v>
      </c>
      <c r="C10" s="11">
        <v>25.61249</v>
      </c>
      <c r="D10" s="11">
        <v>3131.0</v>
      </c>
      <c r="E10" s="11">
        <v>2590501.0</v>
      </c>
      <c r="F10" s="11">
        <v>37.2094</v>
      </c>
      <c r="G10" s="11">
        <v>5832.0</v>
      </c>
      <c r="H10" s="11">
        <v>3170767.0</v>
      </c>
      <c r="I10" s="11">
        <v>37.15644</v>
      </c>
      <c r="J10" s="11">
        <v>5836.0</v>
      </c>
      <c r="K10" s="11">
        <v>2001873.0</v>
      </c>
      <c r="L10" s="11">
        <v>24.04954</v>
      </c>
      <c r="M10" s="11">
        <v>3663.0</v>
      </c>
      <c r="N10" s="11">
        <v>1659934.0</v>
      </c>
      <c r="O10" s="11">
        <v>24.24378</v>
      </c>
      <c r="P10" s="11">
        <v>3655.0</v>
      </c>
      <c r="Q10" s="11">
        <v>223205.0</v>
      </c>
      <c r="R10" s="11">
        <v>36.78447</v>
      </c>
      <c r="S10" s="11">
        <v>577.0</v>
      </c>
      <c r="T10" s="11">
        <v>280577.0</v>
      </c>
      <c r="U10" s="11">
        <v>37.47629</v>
      </c>
      <c r="V10" s="11">
        <v>588.0</v>
      </c>
      <c r="W10" s="11">
        <v>1728700.0</v>
      </c>
      <c r="X10" s="11">
        <v>26.01265</v>
      </c>
      <c r="Y10" s="11">
        <v>3140.0</v>
      </c>
    </row>
    <row r="11">
      <c r="A11" s="12">
        <v>9.0</v>
      </c>
      <c r="B11" s="11">
        <v>1429263.0</v>
      </c>
      <c r="C11" s="11">
        <v>25.75852</v>
      </c>
      <c r="D11" s="11">
        <v>3126.0</v>
      </c>
      <c r="E11" s="11">
        <v>2620606.0</v>
      </c>
      <c r="F11" s="11">
        <v>37.03167</v>
      </c>
      <c r="G11" s="11">
        <v>5865.0</v>
      </c>
      <c r="H11" s="11">
        <v>3170532.0</v>
      </c>
      <c r="I11" s="11">
        <v>37.24637</v>
      </c>
      <c r="J11" s="11">
        <v>5837.0</v>
      </c>
      <c r="K11" s="11">
        <v>1982369.0</v>
      </c>
      <c r="L11" s="11">
        <v>23.61223</v>
      </c>
      <c r="M11" s="11">
        <v>3665.0</v>
      </c>
      <c r="N11" s="11">
        <v>1631272.0</v>
      </c>
      <c r="O11" s="11">
        <v>24.46747</v>
      </c>
      <c r="P11" s="11">
        <v>3623.0</v>
      </c>
      <c r="Q11" s="11">
        <v>223359.0</v>
      </c>
      <c r="R11" s="11">
        <v>38.47713</v>
      </c>
      <c r="S11" s="11">
        <v>564.0</v>
      </c>
      <c r="T11" s="11">
        <v>279086.0</v>
      </c>
      <c r="U11" s="11">
        <v>38.51605</v>
      </c>
      <c r="V11" s="11">
        <v>584.0</v>
      </c>
      <c r="W11" s="11">
        <v>1724321.0</v>
      </c>
      <c r="X11" s="11">
        <v>26.09079</v>
      </c>
      <c r="Y11" s="11">
        <v>3141.0</v>
      </c>
    </row>
    <row r="15">
      <c r="A15" s="20" t="s">
        <v>25</v>
      </c>
      <c r="B15" s="20" t="s">
        <v>26</v>
      </c>
      <c r="C15" s="20" t="s">
        <v>27</v>
      </c>
      <c r="D15" s="20" t="s">
        <v>28</v>
      </c>
    </row>
    <row r="16">
      <c r="A16" s="14" t="s">
        <v>0</v>
      </c>
      <c r="B16" s="15">
        <f>max(B3:B12)</f>
        <v>1435148</v>
      </c>
      <c r="C16" s="21">
        <v>25.4313</v>
      </c>
      <c r="D16" s="21">
        <v>3130.0</v>
      </c>
    </row>
    <row r="17">
      <c r="A17" s="14" t="s">
        <v>29</v>
      </c>
      <c r="B17" s="15">
        <f>max(E3:E12)</f>
        <v>2620606</v>
      </c>
      <c r="C17" s="21">
        <v>37.03167</v>
      </c>
      <c r="D17" s="21">
        <v>5865.0</v>
      </c>
    </row>
    <row r="18">
      <c r="A18" s="19" t="s">
        <v>30</v>
      </c>
      <c r="B18" s="15">
        <f>max(H3:H12)</f>
        <v>3201785</v>
      </c>
      <c r="C18" s="21">
        <v>37.06092</v>
      </c>
      <c r="D18" s="21">
        <v>5877.0</v>
      </c>
    </row>
    <row r="19">
      <c r="A19" s="19" t="s">
        <v>31</v>
      </c>
      <c r="B19" s="15">
        <f>MAX(K3:K12)</f>
        <v>2001873</v>
      </c>
      <c r="C19" s="21">
        <v>24.04954</v>
      </c>
      <c r="D19" s="21">
        <v>3663.0</v>
      </c>
    </row>
    <row r="20">
      <c r="A20" s="19" t="s">
        <v>32</v>
      </c>
      <c r="B20" s="15">
        <f>MAX(N3:N12)</f>
        <v>1666056</v>
      </c>
      <c r="C20" s="21">
        <v>24.09964</v>
      </c>
      <c r="D20" s="21">
        <v>3665.0</v>
      </c>
    </row>
    <row r="21">
      <c r="A21" s="14" t="s">
        <v>33</v>
      </c>
      <c r="B21" s="15">
        <f>maX(Q3:Q12)</f>
        <v>224261</v>
      </c>
      <c r="C21" s="21">
        <v>36.66061</v>
      </c>
      <c r="D21" s="21">
        <v>581.0</v>
      </c>
    </row>
    <row r="22">
      <c r="A22" s="19" t="s">
        <v>34</v>
      </c>
      <c r="B22" s="15">
        <f>max(T3:T12)</f>
        <v>284256</v>
      </c>
      <c r="C22" s="21">
        <v>35.63883</v>
      </c>
      <c r="D22" s="21">
        <v>605.0</v>
      </c>
    </row>
    <row r="23">
      <c r="A23" s="19" t="s">
        <v>35</v>
      </c>
      <c r="B23" s="15">
        <f>max(W3:W12)</f>
        <v>1728700</v>
      </c>
      <c r="C23" s="21">
        <v>26.01265</v>
      </c>
      <c r="D23" s="21">
        <v>3140.0</v>
      </c>
    </row>
  </sheetData>
  <drawing r:id="rId1"/>
</worksheet>
</file>